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ciso-my.sharepoint.com/personal/amehta_misoenergy_org/Documents/"/>
    </mc:Choice>
  </mc:AlternateContent>
  <xr:revisionPtr revIDLastSave="101" documentId="8_{F4F4F3C4-7A1F-454B-B738-28DF52E7719B}" xr6:coauthVersionLast="47" xr6:coauthVersionMax="47" xr10:uidLastSave="{916D3655-E05E-49AE-A7FF-EB8B0F05CBCC}"/>
  <bookViews>
    <workbookView xWindow="33300" yWindow="3075" windowWidth="20535" windowHeight="12225" xr2:uid="{8CF03F50-4C15-4F28-A59E-DD5CA6EDDFAF}"/>
  </bookViews>
  <sheets>
    <sheet name="Units Output" sheetId="1" r:id="rId1"/>
    <sheet name="XFs Output" sheetId="4" r:id="rId2"/>
    <sheet name="CBs Output" sheetId="5" r:id="rId3"/>
    <sheet name="ZBRs Output" sheetId="6" r:id="rId4"/>
    <sheet name="Caps Output" sheetId="7" r:id="rId5"/>
    <sheet name="Intrfc Output" sheetId="8" r:id="rId6"/>
    <sheet name="Lines Output" sheetId="3" r:id="rId7"/>
    <sheet name="LDs Output" sheetId="2" r:id="rId8"/>
  </sheets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" l="1"/>
  <c r="F6" i="1"/>
  <c r="I5" i="1"/>
  <c r="F5" i="1"/>
  <c r="I4" i="1"/>
  <c r="F4" i="1"/>
  <c r="I3" i="1"/>
  <c r="F3" i="1"/>
  <c r="I2" i="1"/>
  <c r="F2" i="1"/>
  <c r="E6" i="1"/>
  <c r="D6" i="1"/>
  <c r="C6" i="1"/>
  <c r="B6" i="1"/>
  <c r="A6" i="1"/>
  <c r="E5" i="1"/>
  <c r="D5" i="1"/>
  <c r="C5" i="1"/>
  <c r="B5" i="1"/>
  <c r="A5" i="1"/>
  <c r="E4" i="1"/>
  <c r="D4" i="1"/>
  <c r="C4" i="1"/>
  <c r="B4" i="1"/>
  <c r="A4" i="1"/>
  <c r="E3" i="1"/>
  <c r="D3" i="1"/>
  <c r="C3" i="1"/>
  <c r="B3" i="1"/>
  <c r="A3" i="1"/>
  <c r="E2" i="1"/>
  <c r="D2" i="1"/>
  <c r="C2" i="1"/>
  <c r="B2" i="1"/>
  <c r="A2" i="1"/>
  <c r="J2" i="1"/>
  <c r="J5" i="1"/>
  <c r="J6" i="1"/>
  <c r="G5" i="1"/>
  <c r="G2" i="1"/>
  <c r="J3" i="1"/>
  <c r="G3" i="1"/>
  <c r="J4" i="1"/>
  <c r="G6" i="1"/>
  <c r="G4" i="1"/>
  <c r="H2" i="1" l="1"/>
  <c r="H4" i="1"/>
  <c r="H6" i="1"/>
  <c r="H3" i="1"/>
  <c r="H5" i="1"/>
  <c r="K2" i="1"/>
  <c r="K4" i="1"/>
  <c r="K5" i="1"/>
  <c r="K3" i="1"/>
  <c r="K6" i="1"/>
</calcChain>
</file>

<file path=xl/sharedStrings.xml><?xml version="1.0" encoding="utf-8"?>
<sst xmlns="http://schemas.openxmlformats.org/spreadsheetml/2006/main" count="95" uniqueCount="41">
  <si>
    <t>SubscR</t>
  </si>
  <si>
    <t>KeyR</t>
  </si>
  <si>
    <t>RegionR</t>
  </si>
  <si>
    <t>CoR</t>
  </si>
  <si>
    <t>StR</t>
  </si>
  <si>
    <t>IDR</t>
  </si>
  <si>
    <t>IDW</t>
  </si>
  <si>
    <t>Diff</t>
  </si>
  <si>
    <t>EligibleR</t>
  </si>
  <si>
    <t>EligibleW</t>
  </si>
  <si>
    <t>ActiveR</t>
  </si>
  <si>
    <t>ActiveW</t>
  </si>
  <si>
    <t>2HAMBG_LINDN</t>
  </si>
  <si>
    <t>Same</t>
  </si>
  <si>
    <t>2HYDHL_CEDR</t>
  </si>
  <si>
    <t>2JACKST_BCEC</t>
  </si>
  <si>
    <t>2KEYS_QUALSW</t>
  </si>
  <si>
    <t>2LEE_SPRGRV</t>
  </si>
  <si>
    <t>TOPOLOGY.AECI.AECI.2BEV_LD.69.2BEV_LD_182</t>
  </si>
  <si>
    <t>TOPOLOGY.AECI.AECI.2BLLMYTP.69.2BLLMYTP_183</t>
  </si>
  <si>
    <t>2BLLMYTP</t>
  </si>
  <si>
    <t>TOPOLOGY.AECI.AECI.2CHILCTY.69.2CHILCTY_187</t>
  </si>
  <si>
    <t>TOPOLOGY.AECI.AECI.2COOKSON.69.2COOKSON_183</t>
  </si>
  <si>
    <t>TOPOLOGY.AECI.AECI.2CROSRD.69.2CROSRD_184</t>
  </si>
  <si>
    <t>FT_CNTR</t>
  </si>
  <si>
    <t>AECI</t>
  </si>
  <si>
    <t>2BEV_LD</t>
  </si>
  <si>
    <t>2CHILCTY</t>
  </si>
  <si>
    <t>2COOKSON</t>
  </si>
  <si>
    <t>2CROSRD</t>
  </si>
  <si>
    <t>RemoveR</t>
  </si>
  <si>
    <t>RemoveW</t>
  </si>
  <si>
    <t>TOPOLOGY.AECI.AECI.4BRISTOW.ONYB.BRISTOW_XF1</t>
  </si>
  <si>
    <t>4BRISTOW</t>
  </si>
  <si>
    <t>TOPOLOGY.AECI.AECI.4BRISTOW.ONYC.BRISTOW_XF2</t>
  </si>
  <si>
    <t>TOPOLOGY.AECI.AECI.4STROUD.0PHF.STROUD_TR1</t>
  </si>
  <si>
    <t>4STROUD</t>
  </si>
  <si>
    <t>TOPOLOGY.AECI.AECI.5CDRCRST.0OQ8.CDCR_TR1</t>
  </si>
  <si>
    <t>5CDRCRST</t>
  </si>
  <si>
    <t>TOPOLOGY.AECI.AECI.5CHOTEAU.0O3E.GS10</t>
  </si>
  <si>
    <t>5CHOTEAU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</si>
</sst>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.midwestiso.org\Data\Operations\Regional%20Operations\Carmel\ROE\Tools\Comparison\ComparisonTool3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Units Output"/>
      <sheetName val="Units Raw"/>
      <sheetName val="Caps Setup"/>
      <sheetName val="CBs Setup"/>
      <sheetName val="CTGS Setup"/>
      <sheetName val="Intrfc Setup"/>
      <sheetName val="Lines Setup"/>
      <sheetName val="LDs Setup"/>
      <sheetName val="Units Setup"/>
      <sheetName val="XFs Setup"/>
      <sheetName val="ZBRs Setup"/>
    </sheetNames>
    <sheetDataSet>
      <sheetData sheetId="0"/>
      <sheetData sheetId="1"/>
      <sheetData sheetId="2">
        <row r="2">
          <cell r="A2">
            <v>1</v>
          </cell>
          <cell r="B2" t="str">
            <v xml:space="preserve">TOPOLOGY.AECI.AECI.2CHILCTY.69.CHILCTY_G1        </v>
          </cell>
          <cell r="C2" t="str">
            <v xml:space="preserve">FT_CNTR </v>
          </cell>
          <cell r="D2" t="str">
            <v xml:space="preserve">AECI  </v>
          </cell>
          <cell r="E2" t="str">
            <v>2CHILCTY</v>
          </cell>
          <cell r="F2">
            <v>0</v>
          </cell>
          <cell r="G2">
            <v>0</v>
          </cell>
          <cell r="O2">
            <v>1</v>
          </cell>
        </row>
        <row r="3">
          <cell r="A3">
            <v>2</v>
          </cell>
          <cell r="B3" t="str">
            <v xml:space="preserve">TOPOLOGY.AECI.AECI.2CHILCTY.69.CHILCTY_G2        </v>
          </cell>
          <cell r="C3" t="str">
            <v xml:space="preserve">FT_CNTR </v>
          </cell>
          <cell r="D3" t="str">
            <v xml:space="preserve">AECI  </v>
          </cell>
          <cell r="E3" t="str">
            <v>2CHILCTY</v>
          </cell>
          <cell r="F3">
            <v>0</v>
          </cell>
          <cell r="G3">
            <v>0</v>
          </cell>
          <cell r="O3">
            <v>2</v>
          </cell>
        </row>
        <row r="4">
          <cell r="A4">
            <v>3</v>
          </cell>
          <cell r="B4" t="str">
            <v xml:space="preserve">TOPOLOGY.AECI.AECI.2CHILCTY.69.CHILCTY_G3        </v>
          </cell>
          <cell r="C4" t="str">
            <v xml:space="preserve">FT_CNTR </v>
          </cell>
          <cell r="D4" t="str">
            <v xml:space="preserve">AECI  </v>
          </cell>
          <cell r="E4" t="str">
            <v>2CHILCTY</v>
          </cell>
          <cell r="F4">
            <v>0</v>
          </cell>
          <cell r="G4">
            <v>0</v>
          </cell>
          <cell r="O4">
            <v>3</v>
          </cell>
        </row>
        <row r="5">
          <cell r="A5">
            <v>4</v>
          </cell>
          <cell r="B5" t="str">
            <v xml:space="preserve">TOPOLOGY.AECI.AECI.2LAMRLNF.69.LAMARLNF_GEN      </v>
          </cell>
          <cell r="C5" t="str">
            <v xml:space="preserve">FT_CNTR </v>
          </cell>
          <cell r="D5" t="str">
            <v xml:space="preserve">AECI  </v>
          </cell>
          <cell r="E5" t="str">
            <v>2LAMRLNF</v>
          </cell>
          <cell r="F5">
            <v>0</v>
          </cell>
          <cell r="G5">
            <v>0</v>
          </cell>
          <cell r="O5">
            <v>4</v>
          </cell>
        </row>
        <row r="6">
          <cell r="A6">
            <v>5</v>
          </cell>
          <cell r="B6" t="str">
            <v xml:space="preserve">TOPOLOGY.AECI.AECI.2VANCTY.69.VANCTY_GEN         </v>
          </cell>
          <cell r="C6" t="str">
            <v xml:space="preserve">FT_CNTR </v>
          </cell>
          <cell r="D6" t="str">
            <v xml:space="preserve">AECI  </v>
          </cell>
          <cell r="E6" t="str">
            <v xml:space="preserve">2VANCTY </v>
          </cell>
          <cell r="F6">
            <v>0</v>
          </cell>
          <cell r="G6">
            <v>0</v>
          </cell>
          <cell r="O6">
            <v>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303B-A026-49A7-BDC6-93BA65D410F2}">
  <sheetPr codeName="Sheet1"/>
  <dimension ref="A1:N6"/>
  <sheetViews>
    <sheetView tabSelected="1" workbookViewId="0">
      <selection activeCell="G9" sqref="G9"/>
    </sheetView>
  </sheetViews>
  <sheetFormatPr defaultRowHeight="14.4" x14ac:dyDescent="0.3"/>
  <cols>
    <col min="2" max="2" width="51" bestFit="1" customWidth="1"/>
    <col min="5" max="5" width="10.109375" bestFit="1" customWidth="1"/>
    <col min="6" max="7" width="15.44140625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30</v>
      </c>
      <c r="J1" t="s">
        <v>31</v>
      </c>
      <c r="K1" t="s">
        <v>7</v>
      </c>
      <c r="L1" t="s">
        <v>10</v>
      </c>
      <c r="M1" t="s">
        <v>11</v>
      </c>
      <c r="N1" t="s">
        <v>7</v>
      </c>
    </row>
    <row r="2" spans="1:14" x14ac:dyDescent="0.3">
      <c r="A2" s="2">
        <f>'[1]Units Raw'!A2</f>
        <v>1</v>
      </c>
      <c r="B2" s="2" t="str">
        <f>'[1]Units Raw'!B2</f>
        <v xml:space="preserve">TOPOLOGY.AECI.AECI.2CHILCTY.69.CHILCTY_G1        </v>
      </c>
      <c r="C2" s="2" t="str">
        <f>'[1]Units Raw'!C2</f>
        <v xml:space="preserve">FT_CNTR </v>
      </c>
      <c r="D2" s="2" t="str">
        <f>'[1]Units Raw'!D2</f>
        <v xml:space="preserve">AECI  </v>
      </c>
      <c r="E2" s="2" t="str">
        <f>'[1]Units Raw'!E2</f>
        <v>2CHILCTY</v>
      </c>
      <c r="F2" s="2">
        <f>'[1]Units Raw'!F2</f>
        <v>0</v>
      </c>
      <c r="G2" s="3" t="e">
        <f ca="1">IF('[1]Units Raw'!O2="","",IF('[1]Units Raw'!O2&lt;&gt;"DNE",INDIRECT("'Units Raw'!M"&amp;'[1]Units Raw'!O2+1),"DNE"))</f>
        <v>#REF!</v>
      </c>
      <c r="H2" s="4" t="e">
        <f t="shared" ref="H2:H6" ca="1" si="0">IF(G2="DNE","DNE",IF(ISERROR(ABS(F2-G2))=TRUE,IF(F2&lt;&gt;G2,"Diff","Same"),ABS(F2-G2)))</f>
        <v>#REF!</v>
      </c>
      <c r="I2" s="2">
        <f>'[1]Units Raw'!G2</f>
        <v>0</v>
      </c>
      <c r="J2" s="3" t="e">
        <f ca="1">IF('[1]Units Raw'!O2="","",IF('[1]Units Raw'!O2&lt;&gt;"DNE",INDIRECT("'Units Raw'!N"&amp;'[1]Units Raw'!O2+1),"DNE"))</f>
        <v>#REF!</v>
      </c>
      <c r="K2" s="1" t="e">
        <f ca="1">IF(J2="DNE","DNE",IF(ISERROR(ABS(I2-J2))=TRUE,IF(I2&lt;&gt;J2,"Diff","Same"),ABS(I2-J2)))</f>
        <v>#REF!</v>
      </c>
      <c r="L2">
        <v>0</v>
      </c>
      <c r="M2">
        <v>0</v>
      </c>
      <c r="N2">
        <v>1</v>
      </c>
    </row>
    <row r="3" spans="1:14" x14ac:dyDescent="0.3">
      <c r="A3" s="2">
        <f>'[1]Units Raw'!A3</f>
        <v>2</v>
      </c>
      <c r="B3" s="2" t="str">
        <f>'[1]Units Raw'!B3</f>
        <v xml:space="preserve">TOPOLOGY.AECI.AECI.2CHILCTY.69.CHILCTY_G2        </v>
      </c>
      <c r="C3" s="2" t="str">
        <f>'[1]Units Raw'!C3</f>
        <v xml:space="preserve">FT_CNTR </v>
      </c>
      <c r="D3" s="2" t="str">
        <f>'[1]Units Raw'!D3</f>
        <v xml:space="preserve">AECI  </v>
      </c>
      <c r="E3" s="2" t="str">
        <f>'[1]Units Raw'!E3</f>
        <v>2CHILCTY</v>
      </c>
      <c r="F3" s="2">
        <f>'[1]Units Raw'!F3</f>
        <v>0</v>
      </c>
      <c r="G3" s="3" t="e">
        <f ca="1">IF('[1]Units Raw'!O3="","",IF('[1]Units Raw'!O3&lt;&gt;"DNE",INDIRECT("'Units Raw'!M"&amp;'[1]Units Raw'!O3+1),"DNE"))</f>
        <v>#REF!</v>
      </c>
      <c r="H3" s="4" t="e">
        <f t="shared" ca="1" si="0"/>
        <v>#REF!</v>
      </c>
      <c r="I3" s="2">
        <f>'[1]Units Raw'!G3</f>
        <v>0</v>
      </c>
      <c r="J3" s="3" t="e">
        <f ca="1">IF('[1]Units Raw'!O3="","",IF('[1]Units Raw'!O3&lt;&gt;"DNE",INDIRECT("'Units Raw'!N"&amp;'[1]Units Raw'!O3+1),"DNE"))</f>
        <v>#REF!</v>
      </c>
      <c r="K3" s="1" t="e">
        <f t="shared" ref="K3:K6" ca="1" si="1">IF(J3="DNE","DNE",IF(ISERROR(ABS(I3-J3))=TRUE,IF(I3&lt;&gt;J3,"Diff","Same"),ABS(I3-J3)))</f>
        <v>#REF!</v>
      </c>
      <c r="L3">
        <v>0</v>
      </c>
      <c r="M3">
        <v>0</v>
      </c>
      <c r="N3">
        <v>0</v>
      </c>
    </row>
    <row r="4" spans="1:14" x14ac:dyDescent="0.3">
      <c r="A4" s="2">
        <f>'[1]Units Raw'!A4</f>
        <v>3</v>
      </c>
      <c r="B4" s="2" t="str">
        <f>'[1]Units Raw'!B4</f>
        <v xml:space="preserve">TOPOLOGY.AECI.AECI.2CHILCTY.69.CHILCTY_G3        </v>
      </c>
      <c r="C4" s="2" t="str">
        <f>'[1]Units Raw'!C4</f>
        <v xml:space="preserve">FT_CNTR </v>
      </c>
      <c r="D4" s="2" t="str">
        <f>'[1]Units Raw'!D4</f>
        <v xml:space="preserve">AECI  </v>
      </c>
      <c r="E4" s="2" t="str">
        <f>'[1]Units Raw'!E4</f>
        <v>2CHILCTY</v>
      </c>
      <c r="F4" s="2">
        <f>'[1]Units Raw'!F4</f>
        <v>0</v>
      </c>
      <c r="G4" s="3" t="e">
        <f ca="1">IF('[1]Units Raw'!O4="","",IF('[1]Units Raw'!O4&lt;&gt;"DNE",INDIRECT("'Units Raw'!M"&amp;'[1]Units Raw'!O4+1),"DNE"))</f>
        <v>#REF!</v>
      </c>
      <c r="H4" s="4" t="e">
        <f t="shared" ca="1" si="0"/>
        <v>#REF!</v>
      </c>
      <c r="I4" s="2">
        <f>'[1]Units Raw'!G4</f>
        <v>0</v>
      </c>
      <c r="J4" s="3" t="e">
        <f ca="1">IF('[1]Units Raw'!O4="","",IF('[1]Units Raw'!O4&lt;&gt;"DNE",INDIRECT("'Units Raw'!N"&amp;'[1]Units Raw'!O4+1),"DNE"))</f>
        <v>#REF!</v>
      </c>
      <c r="K4" s="1" t="e">
        <f t="shared" ca="1" si="1"/>
        <v>#REF!</v>
      </c>
      <c r="L4">
        <v>0</v>
      </c>
      <c r="M4">
        <v>0</v>
      </c>
      <c r="N4">
        <v>0</v>
      </c>
    </row>
    <row r="5" spans="1:14" x14ac:dyDescent="0.3">
      <c r="A5" s="2">
        <f>'[1]Units Raw'!A5</f>
        <v>4</v>
      </c>
      <c r="B5" s="2" t="str">
        <f>'[1]Units Raw'!B5</f>
        <v xml:space="preserve">TOPOLOGY.AECI.AECI.2LAMRLNF.69.LAMARLNF_GEN      </v>
      </c>
      <c r="C5" s="2" t="str">
        <f>'[1]Units Raw'!C5</f>
        <v xml:space="preserve">FT_CNTR </v>
      </c>
      <c r="D5" s="2" t="str">
        <f>'[1]Units Raw'!D5</f>
        <v xml:space="preserve">AECI  </v>
      </c>
      <c r="E5" s="2" t="str">
        <f>'[1]Units Raw'!E5</f>
        <v>2LAMRLNF</v>
      </c>
      <c r="F5" s="2">
        <f>'[1]Units Raw'!F5</f>
        <v>0</v>
      </c>
      <c r="G5" s="3" t="e">
        <f ca="1">IF('[1]Units Raw'!O5="","",IF('[1]Units Raw'!O5&lt;&gt;"DNE",INDIRECT("'Units Raw'!M"&amp;'[1]Units Raw'!O5+1),"DNE"))</f>
        <v>#REF!</v>
      </c>
      <c r="H5" s="4" t="e">
        <f t="shared" ca="1" si="0"/>
        <v>#REF!</v>
      </c>
      <c r="I5" s="2">
        <f>'[1]Units Raw'!G5</f>
        <v>0</v>
      </c>
      <c r="J5" s="3" t="e">
        <f ca="1">IF('[1]Units Raw'!O5="","",IF('[1]Units Raw'!O5&lt;&gt;"DNE",INDIRECT("'Units Raw'!N"&amp;'[1]Units Raw'!O5+1),"DNE"))</f>
        <v>#REF!</v>
      </c>
      <c r="K5" s="1" t="e">
        <f t="shared" ca="1" si="1"/>
        <v>#REF!</v>
      </c>
      <c r="L5">
        <v>0</v>
      </c>
      <c r="M5">
        <v>0</v>
      </c>
      <c r="N5">
        <v>0</v>
      </c>
    </row>
    <row r="6" spans="1:14" x14ac:dyDescent="0.3">
      <c r="A6" s="2">
        <f>'[1]Units Raw'!A6</f>
        <v>5</v>
      </c>
      <c r="B6" s="2" t="str">
        <f>'[1]Units Raw'!B6</f>
        <v xml:space="preserve">TOPOLOGY.AECI.AECI.2VANCTY.69.VANCTY_GEN         </v>
      </c>
      <c r="C6" s="2" t="str">
        <f>'[1]Units Raw'!C6</f>
        <v xml:space="preserve">FT_CNTR </v>
      </c>
      <c r="D6" s="2" t="str">
        <f>'[1]Units Raw'!D6</f>
        <v xml:space="preserve">AECI  </v>
      </c>
      <c r="E6" s="2" t="str">
        <f>'[1]Units Raw'!E6</f>
        <v xml:space="preserve">2VANCTY </v>
      </c>
      <c r="F6" s="2">
        <f>'[1]Units Raw'!F6</f>
        <v>0</v>
      </c>
      <c r="G6" s="3" t="e">
        <f ca="1">IF('[1]Units Raw'!O6="","",IF('[1]Units Raw'!O6&lt;&gt;"DNE",INDIRECT("'Units Raw'!M"&amp;'[1]Units Raw'!O6+1),"DNE"))</f>
        <v>#REF!</v>
      </c>
      <c r="H6" s="4" t="e">
        <f t="shared" ca="1" si="0"/>
        <v>#REF!</v>
      </c>
      <c r="I6" s="2">
        <f>'[1]Units Raw'!G6</f>
        <v>0</v>
      </c>
      <c r="J6" s="3" t="e">
        <f ca="1">IF('[1]Units Raw'!O6="","",IF('[1]Units Raw'!O6&lt;&gt;"DNE",INDIRECT("'Units Raw'!N"&amp;'[1]Units Raw'!O6+1),"DNE"))</f>
        <v>#REF!</v>
      </c>
      <c r="K6" s="1" t="e">
        <f t="shared" ca="1" si="1"/>
        <v>#REF!</v>
      </c>
      <c r="L6">
        <v>0</v>
      </c>
      <c r="M6">
        <v>0</v>
      </c>
      <c r="N6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50820-EFE7-49C0-A98A-F85A8CC65B65}">
  <dimension ref="A1:K6"/>
  <sheetViews>
    <sheetView workbookViewId="0">
      <selection activeCell="H3" sqref="H3"/>
    </sheetView>
  </sheetViews>
  <sheetFormatPr defaultRowHeight="14.4" x14ac:dyDescent="0.3"/>
  <cols>
    <col min="2" max="2" width="50.88671875" bestFit="1" customWidth="1"/>
    <col min="5" max="5" width="10.332031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7</v>
      </c>
      <c r="I1" t="s">
        <v>10</v>
      </c>
      <c r="J1" t="s">
        <v>11</v>
      </c>
      <c r="K1" t="s">
        <v>7</v>
      </c>
    </row>
    <row r="2" spans="1:11" x14ac:dyDescent="0.3">
      <c r="A2">
        <v>1</v>
      </c>
      <c r="B2" t="s">
        <v>32</v>
      </c>
      <c r="C2" t="s">
        <v>24</v>
      </c>
      <c r="D2" t="s">
        <v>25</v>
      </c>
      <c r="E2" t="s">
        <v>33</v>
      </c>
      <c r="F2">
        <v>1</v>
      </c>
      <c r="G2">
        <v>1</v>
      </c>
      <c r="H2">
        <v>1</v>
      </c>
      <c r="I2">
        <v>0</v>
      </c>
      <c r="J2">
        <v>0</v>
      </c>
      <c r="K2">
        <v>1</v>
      </c>
    </row>
    <row r="3" spans="1:11" x14ac:dyDescent="0.3">
      <c r="A3">
        <v>2</v>
      </c>
      <c r="B3" t="s">
        <v>34</v>
      </c>
      <c r="C3" t="s">
        <v>24</v>
      </c>
      <c r="D3" t="s">
        <v>25</v>
      </c>
      <c r="E3" t="s">
        <v>33</v>
      </c>
      <c r="F3">
        <v>1</v>
      </c>
      <c r="G3">
        <v>1</v>
      </c>
      <c r="H3">
        <v>1</v>
      </c>
      <c r="I3">
        <v>0</v>
      </c>
      <c r="J3">
        <v>0</v>
      </c>
      <c r="K3">
        <v>0</v>
      </c>
    </row>
    <row r="4" spans="1:11" x14ac:dyDescent="0.3">
      <c r="A4">
        <v>3</v>
      </c>
      <c r="B4" t="s">
        <v>35</v>
      </c>
      <c r="C4" t="s">
        <v>24</v>
      </c>
      <c r="D4" t="s">
        <v>25</v>
      </c>
      <c r="E4" t="s">
        <v>36</v>
      </c>
      <c r="F4">
        <v>1</v>
      </c>
      <c r="G4">
        <v>1</v>
      </c>
      <c r="H4">
        <v>1</v>
      </c>
      <c r="I4">
        <v>0</v>
      </c>
      <c r="J4">
        <v>0</v>
      </c>
      <c r="K4">
        <v>0</v>
      </c>
    </row>
    <row r="5" spans="1:11" x14ac:dyDescent="0.3">
      <c r="A5">
        <v>4</v>
      </c>
      <c r="B5" t="s">
        <v>37</v>
      </c>
      <c r="C5" t="s">
        <v>24</v>
      </c>
      <c r="D5" t="s">
        <v>25</v>
      </c>
      <c r="E5" t="s">
        <v>38</v>
      </c>
      <c r="F5">
        <v>1</v>
      </c>
      <c r="G5">
        <v>1</v>
      </c>
      <c r="H5">
        <v>1</v>
      </c>
      <c r="I5">
        <v>0</v>
      </c>
      <c r="J5">
        <v>0</v>
      </c>
      <c r="K5">
        <v>0</v>
      </c>
    </row>
    <row r="6" spans="1:11" x14ac:dyDescent="0.3">
      <c r="A6">
        <v>5</v>
      </c>
      <c r="B6" t="s">
        <v>39</v>
      </c>
      <c r="C6" t="s">
        <v>24</v>
      </c>
      <c r="D6" t="s">
        <v>25</v>
      </c>
      <c r="E6" t="s">
        <v>40</v>
      </c>
      <c r="F6">
        <v>1</v>
      </c>
      <c r="G6">
        <v>1</v>
      </c>
      <c r="H6">
        <v>1</v>
      </c>
      <c r="I6">
        <v>0</v>
      </c>
      <c r="J6">
        <v>0</v>
      </c>
      <c r="K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62639-7F8B-41B9-90FE-A9ED9A4474C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2C327-C25B-42C0-9E3E-FE9E884B1FB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EDAFA-AD9E-4B5C-8D0E-09C8C6F2BC7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746B3-F931-4513-A978-B42C169B777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1B066-DF67-445D-84D9-B56A859BED9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594F3-BCAE-4873-8D26-68763BBCB3D8}">
  <dimension ref="A1:N6"/>
  <sheetViews>
    <sheetView workbookViewId="0">
      <selection activeCell="B2" sqref="B2"/>
    </sheetView>
  </sheetViews>
  <sheetFormatPr defaultRowHeight="14.4" x14ac:dyDescent="0.3"/>
  <cols>
    <col min="2" max="2" width="51.44140625" bestFit="1" customWidth="1"/>
    <col min="5" max="5" width="11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7</v>
      </c>
      <c r="L1" t="s">
        <v>10</v>
      </c>
      <c r="M1" t="s">
        <v>11</v>
      </c>
      <c r="N1" t="s">
        <v>7</v>
      </c>
    </row>
    <row r="2" spans="1:14" x14ac:dyDescent="0.3">
      <c r="A2">
        <v>1</v>
      </c>
      <c r="B2" t="s">
        <v>18</v>
      </c>
      <c r="C2" t="s">
        <v>24</v>
      </c>
      <c r="D2" t="s">
        <v>25</v>
      </c>
      <c r="E2" t="s">
        <v>26</v>
      </c>
      <c r="F2" t="s">
        <v>12</v>
      </c>
      <c r="G2" t="s">
        <v>12</v>
      </c>
      <c r="H2" t="s">
        <v>13</v>
      </c>
      <c r="I2">
        <v>1</v>
      </c>
      <c r="J2">
        <v>1</v>
      </c>
      <c r="K2">
        <v>1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19</v>
      </c>
      <c r="C3" t="s">
        <v>24</v>
      </c>
      <c r="D3" t="s">
        <v>25</v>
      </c>
      <c r="E3" t="s">
        <v>20</v>
      </c>
      <c r="F3" t="s">
        <v>14</v>
      </c>
      <c r="G3" t="s">
        <v>14</v>
      </c>
      <c r="H3" t="s">
        <v>13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</row>
    <row r="4" spans="1:14" x14ac:dyDescent="0.3">
      <c r="A4">
        <v>3</v>
      </c>
      <c r="B4" t="s">
        <v>21</v>
      </c>
      <c r="C4" t="s">
        <v>24</v>
      </c>
      <c r="D4" t="s">
        <v>25</v>
      </c>
      <c r="E4" t="s">
        <v>27</v>
      </c>
      <c r="F4" t="s">
        <v>15</v>
      </c>
      <c r="G4" t="s">
        <v>15</v>
      </c>
      <c r="H4" t="s">
        <v>13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</row>
    <row r="5" spans="1:14" x14ac:dyDescent="0.3">
      <c r="A5">
        <v>4</v>
      </c>
      <c r="B5" t="s">
        <v>22</v>
      </c>
      <c r="C5" t="s">
        <v>24</v>
      </c>
      <c r="D5" t="s">
        <v>25</v>
      </c>
      <c r="E5" t="s">
        <v>28</v>
      </c>
      <c r="F5" t="s">
        <v>16</v>
      </c>
      <c r="G5" t="s">
        <v>16</v>
      </c>
      <c r="H5" t="s">
        <v>13</v>
      </c>
      <c r="I5">
        <v>1</v>
      </c>
      <c r="J5">
        <v>1</v>
      </c>
      <c r="K5" t="s">
        <v>13</v>
      </c>
      <c r="L5">
        <v>0</v>
      </c>
      <c r="M5">
        <v>0</v>
      </c>
      <c r="N5">
        <v>0</v>
      </c>
    </row>
    <row r="6" spans="1:14" x14ac:dyDescent="0.3">
      <c r="A6">
        <v>5</v>
      </c>
      <c r="B6" t="s">
        <v>23</v>
      </c>
      <c r="C6" t="s">
        <v>24</v>
      </c>
      <c r="D6" t="s">
        <v>25</v>
      </c>
      <c r="E6" t="s">
        <v>29</v>
      </c>
      <c r="F6" t="s">
        <v>17</v>
      </c>
      <c r="G6" t="s">
        <v>17</v>
      </c>
      <c r="H6" t="s">
        <v>13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Units Output</vt:lpstr>
      <vt:lpstr>XFs Output</vt:lpstr>
      <vt:lpstr>CBs Output</vt:lpstr>
      <vt:lpstr>ZBRs Output</vt:lpstr>
      <vt:lpstr>Caps Output</vt:lpstr>
      <vt:lpstr>Intrfc Output</vt:lpstr>
      <vt:lpstr>Lines Output</vt:lpstr>
      <vt:lpstr>LDs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Aarya Mehta</dc:creator>
  <cp:lastModifiedBy>Aarya Mehta</cp:lastModifiedBy>
  <dcterms:created xsi:type="dcterms:W3CDTF">2023-05-30T18:53:27Z</dcterms:created>
  <dcterms:modified xsi:type="dcterms:W3CDTF">2023-06-13T14:48:12Z</dcterms:modified>
</cp:coreProperties>
</file>